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c9e27cb4b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近三月交易" sheetId="1" r:id="R6f2fcc3eaeff4878"/>
    <x:sheet xmlns:r="http://schemas.openxmlformats.org/officeDocument/2006/relationships" name="说明" sheetId="2" r:id="Rc84005f6e5f84a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+#,##0.00;-#,##0.00;0.00"/>
    <x:numFmt numFmtId="202" formatCode="0.00%"/>
    <x:numFmt numFmtId="203" formatCode="+0.00%;-0.00%;0.00%"/>
    <x:numFmt numFmtId="204" formatCode="yyyy-mm-dd"/>
    <x:numFmt numFmtId="205" formatCode="@"/>
    <x:numFmt numFmtId="206" formatCode="0.000"/>
  </x:numFmts>
  <x:fonts count="9">
    <x:font>
      <x:sz val="11"/>
      <x:name val="Carlito"/>
    </x:font>
    <x:font>
      <x:b/>
      <x:sz val="20"/>
      <x:color rgb="FF292D33"/>
      <x:name val="Noto Sans CJK SC"/>
    </x:font>
    <x:font>
      <x:sz val="9"/>
      <x:color rgb="FF8A8F98"/>
      <x:name val="Noto Sans CJK SC"/>
    </x:font>
    <x:font>
      <x:b/>
      <x:sz val="10"/>
      <x:color rgb="FF737780"/>
      <x:name val="Noto Sans CJK SC"/>
    </x:font>
    <x:font>
      <x:b/>
      <x:sz val="18"/>
      <x:color rgb="FFFF3045"/>
      <x:name val="Noto Sans CJK SC"/>
    </x:font>
    <x:font>
      <x:sz val="9"/>
      <x:color rgb="FFB84A56"/>
      <x:name val="Noto Sans CJK SC"/>
    </x:font>
    <x:font>
      <x:b/>
      <x:sz val="10"/>
      <x:color rgb="FF33373D"/>
      <x:name val="Noto Sans CJK SC"/>
    </x:font>
    <x:font>
      <x:sz val="10"/>
      <x:color rgb="FF33373D"/>
      <x:name val="Noto Sans CJK SC"/>
    </x:font>
    <x:font>
      <x:b/>
      <x:sz val="18"/>
      <x:color rgb="FFFFFFFF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6F7F9"/>
      </x:patternFill>
    </x:fill>
    <x:fill>
      <x:patternFill patternType="solid">
        <x:fgColor rgb="FFFFF6F7"/>
      </x:patternFill>
    </x:fill>
    <x:fill>
      <x:patternFill patternType="solid">
        <x:fgColor rgb="FFF7F8FA"/>
      </x:patternFill>
    </x:fill>
    <x:fill>
      <x:patternFill patternType="solid">
        <x:fgColor rgb="FF30343B"/>
      </x:patternFill>
    </x:fill>
  </x:fills>
  <x:borders count="14">
    <x:border/>
    <x:border>
      <x:bottom style="medium">
        <x:color rgb="FFFF3045"/>
      </x:bottom>
    </x:border>
    <x:border>
      <x:left style="thin">
        <x:color rgb="FFEAECF0"/>
      </x:left>
      <x:top style="thin">
        <x:color rgb="FFEAECF0"/>
      </x:top>
    </x:border>
    <x:border>
      <x:top style="thin">
        <x:color rgb="FFEAECF0"/>
      </x:top>
    </x:border>
    <x:border>
      <x:right style="thin">
        <x:color rgb="FFEAECF0"/>
      </x:right>
      <x:top style="thin">
        <x:color rgb="FFEAECF0"/>
      </x:top>
    </x:border>
    <x:border>
      <x:left style="thin">
        <x:color rgb="FFEAECF0"/>
      </x:left>
    </x:border>
    <x:border>
      <x:right style="thin">
        <x:color rgb="FFEAECF0"/>
      </x:right>
    </x:border>
    <x:border>
      <x:left style="thin">
        <x:color rgb="FFEAECF0"/>
      </x:left>
      <x:bottom style="thin">
        <x:color rgb="FFEAECF0"/>
      </x:bottom>
    </x:border>
    <x:border>
      <x:bottom style="thin">
        <x:color rgb="FFEAECF0"/>
      </x:bottom>
    </x:border>
    <x:border>
      <x:right style="thin">
        <x:color rgb="FFEAECF0"/>
      </x:right>
      <x:bottom style="thin">
        <x:color rgb="FFEAECF0"/>
      </x:bottom>
    </x:border>
    <x:border>
      <x:bottom style="thin">
        <x:color rgb="FFDDE1E6"/>
      </x:bottom>
    </x:border>
    <x:border>
      <x:bottom style="thin">
        <x:color rgb="FFE7E9ED"/>
      </x:bottom>
    </x:border>
    <x:border>
      <x:top style="thin">
        <x:color rgb="FFE7E9ED"/>
      </x:top>
      <x:bottom style="thin">
        <x:color rgb="FFE7E9ED"/>
      </x:bottom>
    </x:border>
    <x:border>
      <x:top style="thin">
        <x:color rgb="FFE7E9ED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/>
    </x:xf>
    <x:xf numFmtId="0" fontId="3" fillId="3" borderId="4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200" fontId="4" fillId="3" borderId="5" xfId="0" applyNumberFormat="1" applyFont="1" applyFill="1" applyBorder="1"/>
    <x:xf numFmtId="200" fontId="4" fillId="3" borderId="0" xfId="0" applyNumberFormat="1" applyFont="1" applyFill="1" applyBorder="1"/>
    <x:xf numFmtId="200" fontId="4" fillId="3" borderId="6" xfId="0" applyNumberFormat="1" applyFont="1" applyFill="1" applyBorder="1"/>
    <x:xf numFmtId="200" fontId="4" fillId="3" borderId="7" xfId="0" applyNumberFormat="1" applyFont="1" applyFill="1" applyBorder="1"/>
    <x:xf numFmtId="200" fontId="4" fillId="3" borderId="8" xfId="0" applyNumberFormat="1" applyFont="1" applyFill="1" applyBorder="1"/>
    <x:xf numFmtId="200" fontId="4" fillId="3" borderId="9" xfId="0" applyNumberFormat="1" applyFont="1" applyFill="1" applyBorder="1"/>
    <x:xf numFmtId="200" fontId="4" fillId="3" borderId="5" xfId="0" applyNumberFormat="1" applyFont="1" applyFill="1" applyBorder="1" applyAlignment="1">
      <x:alignment horizontal="center"/>
    </x:xf>
    <x:xf numFmtId="200" fontId="4" fillId="3" borderId="0" xfId="0" applyNumberFormat="1" applyFont="1" applyFill="1" applyBorder="1" applyAlignment="1">
      <x:alignment horizontal="center"/>
    </x:xf>
    <x:xf numFmtId="200" fontId="4" fillId="3" borderId="6" xfId="0" applyNumberFormat="1" applyFont="1" applyFill="1" applyBorder="1" applyAlignment="1">
      <x:alignment horizontal="center"/>
    </x:xf>
    <x:xf numFmtId="200" fontId="4" fillId="3" borderId="7" xfId="0" applyNumberFormat="1" applyFont="1" applyFill="1" applyBorder="1" applyAlignment="1">
      <x:alignment horizontal="center"/>
    </x:xf>
    <x:xf numFmtId="200" fontId="4" fillId="3" borderId="8" xfId="0" applyNumberFormat="1" applyFont="1" applyFill="1" applyBorder="1" applyAlignment="1">
      <x:alignment horizontal="center"/>
    </x:xf>
    <x:xf numFmtId="200" fontId="4" fillId="3" borderId="9" xfId="0" applyNumberFormat="1" applyFont="1" applyFill="1" applyBorder="1" applyAlignment="1">
      <x:alignment horizontal="center"/>
    </x:xf>
    <x:xf numFmtId="200" fontId="4" fillId="3" borderId="5" xfId="0" applyNumberFormat="1" applyFont="1" applyFill="1" applyBorder="1" applyAlignment="1">
      <x:alignment horizontal="center" vertical="center"/>
    </x:xf>
    <x:xf numFmtId="200" fontId="4" fillId="3" borderId="0" xfId="0" applyNumberFormat="1" applyFont="1" applyFill="1" applyBorder="1" applyAlignment="1">
      <x:alignment horizontal="center" vertical="center"/>
    </x:xf>
    <x:xf numFmtId="200" fontId="4" fillId="3" borderId="6" xfId="0" applyNumberFormat="1" applyFont="1" applyFill="1" applyBorder="1" applyAlignment="1">
      <x:alignment horizontal="center" vertical="center"/>
    </x:xf>
    <x:xf numFmtId="200" fontId="4" fillId="3" borderId="7" xfId="0" applyNumberFormat="1" applyFont="1" applyFill="1" applyBorder="1" applyAlignment="1">
      <x:alignment horizontal="center" vertical="center"/>
    </x:xf>
    <x:xf numFmtId="200" fontId="4" fillId="3" borderId="8" xfId="0" applyNumberFormat="1" applyFont="1" applyFill="1" applyBorder="1" applyAlignment="1">
      <x:alignment horizontal="center" vertical="center"/>
    </x:xf>
    <x:xf numFmtId="200" fontId="4" fillId="3" borderId="9" xfId="0" applyNumberFormat="1" applyFont="1" applyFill="1" applyBorder="1" applyAlignment="1">
      <x:alignment horizontal="center" vertical="center"/>
    </x:xf>
    <x:xf numFmtId="201" fontId="4" fillId="3" borderId="5" xfId="0" applyNumberFormat="1" applyFont="1" applyFill="1" applyBorder="1"/>
    <x:xf numFmtId="201" fontId="4" fillId="3" borderId="0" xfId="0" applyNumberFormat="1" applyFont="1" applyFill="1" applyBorder="1"/>
    <x:xf numFmtId="201" fontId="4" fillId="3" borderId="6" xfId="0" applyNumberFormat="1" applyFont="1" applyFill="1" applyBorder="1"/>
    <x:xf numFmtId="201" fontId="4" fillId="3" borderId="7" xfId="0" applyNumberFormat="1" applyFont="1" applyFill="1" applyBorder="1"/>
    <x:xf numFmtId="201" fontId="4" fillId="3" borderId="8" xfId="0" applyNumberFormat="1" applyFont="1" applyFill="1" applyBorder="1"/>
    <x:xf numFmtId="201" fontId="4" fillId="3" borderId="9" xfId="0" applyNumberFormat="1" applyFont="1" applyFill="1" applyBorder="1"/>
    <x:xf numFmtId="201" fontId="4" fillId="3" borderId="5" xfId="0" applyNumberFormat="1" applyFont="1" applyFill="1" applyBorder="1" applyAlignment="1">
      <x:alignment horizontal="center"/>
    </x:xf>
    <x:xf numFmtId="201" fontId="4" fillId="3" borderId="0" xfId="0" applyNumberFormat="1" applyFont="1" applyFill="1" applyBorder="1" applyAlignment="1">
      <x:alignment horizontal="center"/>
    </x:xf>
    <x:xf numFmtId="201" fontId="4" fillId="3" borderId="6" xfId="0" applyNumberFormat="1" applyFont="1" applyFill="1" applyBorder="1" applyAlignment="1">
      <x:alignment horizontal="center"/>
    </x:xf>
    <x:xf numFmtId="201" fontId="4" fillId="3" borderId="7" xfId="0" applyNumberFormat="1" applyFont="1" applyFill="1" applyBorder="1" applyAlignment="1">
      <x:alignment horizontal="center"/>
    </x:xf>
    <x:xf numFmtId="201" fontId="4" fillId="3" borderId="8" xfId="0" applyNumberFormat="1" applyFont="1" applyFill="1" applyBorder="1" applyAlignment="1">
      <x:alignment horizontal="center"/>
    </x:xf>
    <x:xf numFmtId="201" fontId="4" fillId="3" borderId="9" xfId="0" applyNumberFormat="1" applyFont="1" applyFill="1" applyBorder="1" applyAlignment="1">
      <x:alignment horizontal="center"/>
    </x:xf>
    <x:xf numFmtId="201" fontId="4" fillId="3" borderId="5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1" fontId="4" fillId="3" borderId="6" xfId="0" applyNumberFormat="1" applyFont="1" applyFill="1" applyBorder="1" applyAlignment="1">
      <x:alignment horizontal="center" vertical="center"/>
    </x:xf>
    <x:xf numFmtId="201" fontId="4" fillId="3" borderId="7" xfId="0" applyNumberFormat="1" applyFont="1" applyFill="1" applyBorder="1" applyAlignment="1">
      <x:alignment horizontal="center" vertical="center"/>
    </x:xf>
    <x:xf numFmtId="201" fontId="4" fillId="3" borderId="8" xfId="0" applyNumberFormat="1" applyFont="1" applyFill="1" applyBorder="1" applyAlignment="1">
      <x:alignment horizontal="center" vertical="center"/>
    </x:xf>
    <x:xf numFmtId="201" fontId="4" fillId="3" borderId="9" xfId="0" applyNumberFormat="1" applyFont="1" applyFill="1" applyBorder="1" applyAlignment="1">
      <x:alignment horizontal="center" vertical="center"/>
    </x:xf>
    <x:xf numFmtId="202" fontId="4" fillId="3" borderId="5" xfId="0" applyNumberFormat="1" applyFont="1" applyFill="1" applyBorder="1"/>
    <x:xf numFmtId="202" fontId="4" fillId="3" borderId="0" xfId="0" applyNumberFormat="1" applyFont="1" applyFill="1" applyBorder="1"/>
    <x:xf numFmtId="202" fontId="4" fillId="3" borderId="6" xfId="0" applyNumberFormat="1" applyFont="1" applyFill="1" applyBorder="1"/>
    <x:xf numFmtId="202" fontId="4" fillId="3" borderId="7" xfId="0" applyNumberFormat="1" applyFont="1" applyFill="1" applyBorder="1"/>
    <x:xf numFmtId="202" fontId="4" fillId="3" borderId="8" xfId="0" applyNumberFormat="1" applyFont="1" applyFill="1" applyBorder="1"/>
    <x:xf numFmtId="202" fontId="4" fillId="3" borderId="9" xfId="0" applyNumberFormat="1" applyFont="1" applyFill="1" applyBorder="1"/>
    <x:xf numFmtId="202" fontId="4" fillId="3" borderId="5" xfId="0" applyNumberFormat="1" applyFont="1" applyFill="1" applyBorder="1" applyAlignment="1">
      <x:alignment horizontal="center"/>
    </x:xf>
    <x:xf numFmtId="202" fontId="4" fillId="3" borderId="0" xfId="0" applyNumberFormat="1" applyFont="1" applyFill="1" applyBorder="1" applyAlignment="1">
      <x:alignment horizontal="center"/>
    </x:xf>
    <x:xf numFmtId="202" fontId="4" fillId="3" borderId="6" xfId="0" applyNumberFormat="1" applyFont="1" applyFill="1" applyBorder="1" applyAlignment="1">
      <x:alignment horizontal="center"/>
    </x:xf>
    <x:xf numFmtId="202" fontId="4" fillId="3" borderId="7" xfId="0" applyNumberFormat="1" applyFont="1" applyFill="1" applyBorder="1" applyAlignment="1">
      <x:alignment horizontal="center"/>
    </x:xf>
    <x:xf numFmtId="202" fontId="4" fillId="3" borderId="8" xfId="0" applyNumberFormat="1" applyFont="1" applyFill="1" applyBorder="1" applyAlignment="1">
      <x:alignment horizontal="center"/>
    </x:xf>
    <x:xf numFmtId="202" fontId="4" fillId="3" borderId="9" xfId="0" applyNumberFormat="1" applyFont="1" applyFill="1" applyBorder="1" applyAlignment="1">
      <x:alignment horizontal="center"/>
    </x:xf>
    <x:xf numFmtId="202" fontId="4" fillId="3" borderId="5" xfId="0" applyNumberFormat="1" applyFont="1" applyFill="1" applyBorder="1" applyAlignment="1">
      <x:alignment horizontal="center" vertical="center"/>
    </x:xf>
    <x:xf numFmtId="202" fontId="4" fillId="3" borderId="0" xfId="0" applyNumberFormat="1" applyFont="1" applyFill="1" applyBorder="1" applyAlignment="1">
      <x:alignment horizontal="center" vertical="center"/>
    </x:xf>
    <x:xf numFmtId="202" fontId="4" fillId="3" borderId="6" xfId="0" applyNumberFormat="1" applyFont="1" applyFill="1" applyBorder="1" applyAlignment="1">
      <x:alignment horizontal="center" vertical="center"/>
    </x:xf>
    <x:xf numFmtId="202" fontId="4" fillId="3" borderId="7" xfId="0" applyNumberFormat="1" applyFont="1" applyFill="1" applyBorder="1" applyAlignment="1">
      <x:alignment horizontal="center" vertical="center"/>
    </x:xf>
    <x:xf numFmtId="202" fontId="4" fillId="3" borderId="8" xfId="0" applyNumberFormat="1" applyFont="1" applyFill="1" applyBorder="1" applyAlignment="1">
      <x:alignment horizontal="center" vertical="center"/>
    </x:xf>
    <x:xf numFmtId="202" fontId="4" fillId="3" borderId="9" xfId="0" applyNumberFormat="1" applyFont="1" applyFill="1" applyBorder="1" applyAlignment="1">
      <x:alignment horizontal="center" vertical="center"/>
    </x:xf>
    <x:xf numFmtId="203" fontId="4" fillId="3" borderId="5" xfId="0" applyNumberFormat="1" applyFont="1" applyFill="1" applyBorder="1"/>
    <x:xf numFmtId="203" fontId="4" fillId="3" borderId="0" xfId="0" applyNumberFormat="1" applyFont="1" applyFill="1" applyBorder="1"/>
    <x:xf numFmtId="203" fontId="4" fillId="3" borderId="6" xfId="0" applyNumberFormat="1" applyFont="1" applyFill="1" applyBorder="1"/>
    <x:xf numFmtId="203" fontId="4" fillId="3" borderId="7" xfId="0" applyNumberFormat="1" applyFont="1" applyFill="1" applyBorder="1"/>
    <x:xf numFmtId="203" fontId="4" fillId="3" borderId="8" xfId="0" applyNumberFormat="1" applyFont="1" applyFill="1" applyBorder="1"/>
    <x:xf numFmtId="203" fontId="4" fillId="3" borderId="9" xfId="0" applyNumberFormat="1" applyFont="1" applyFill="1" applyBorder="1"/>
    <x:xf numFmtId="203" fontId="4" fillId="3" borderId="5" xfId="0" applyNumberFormat="1" applyFont="1" applyFill="1" applyBorder="1" applyAlignment="1">
      <x:alignment horizontal="center"/>
    </x:xf>
    <x:xf numFmtId="203" fontId="4" fillId="3" borderId="0" xfId="0" applyNumberFormat="1" applyFont="1" applyFill="1" applyBorder="1" applyAlignment="1">
      <x:alignment horizontal="center"/>
    </x:xf>
    <x:xf numFmtId="203" fontId="4" fillId="3" borderId="6" xfId="0" applyNumberFormat="1" applyFont="1" applyFill="1" applyBorder="1" applyAlignment="1">
      <x:alignment horizontal="center"/>
    </x:xf>
    <x:xf numFmtId="203" fontId="4" fillId="3" borderId="7" xfId="0" applyNumberFormat="1" applyFont="1" applyFill="1" applyBorder="1" applyAlignment="1">
      <x:alignment horizontal="center"/>
    </x:xf>
    <x:xf numFmtId="203" fontId="4" fillId="3" borderId="8" xfId="0" applyNumberFormat="1" applyFont="1" applyFill="1" applyBorder="1" applyAlignment="1">
      <x:alignment horizontal="center"/>
    </x:xf>
    <x:xf numFmtId="203" fontId="4" fillId="3" borderId="9" xfId="0" applyNumberFormat="1" applyFont="1" applyFill="1" applyBorder="1" applyAlignment="1">
      <x:alignment horizontal="center"/>
    </x:xf>
    <x:xf numFmtId="203" fontId="4" fillId="3" borderId="5" xfId="0" applyNumberFormat="1" applyFont="1" applyFill="1" applyBorder="1" applyAlignment="1">
      <x:alignment horizontal="center" vertical="center"/>
    </x:xf>
    <x:xf numFmtId="203" fontId="4" fillId="3" borderId="0" xfId="0" applyNumberFormat="1" applyFont="1" applyFill="1" applyBorder="1" applyAlignment="1">
      <x:alignment horizontal="center" vertical="center"/>
    </x:xf>
    <x:xf numFmtId="203" fontId="4" fillId="3" borderId="6" xfId="0" applyNumberFormat="1" applyFont="1" applyFill="1" applyBorder="1" applyAlignment="1">
      <x:alignment horizontal="center" vertical="center"/>
    </x:xf>
    <x:xf numFmtId="203" fontId="4" fillId="3" borderId="7" xfId="0" applyNumberFormat="1" applyFont="1" applyFill="1" applyBorder="1" applyAlignment="1">
      <x:alignment horizontal="center" vertical="center"/>
    </x:xf>
    <x:xf numFmtId="203" fontId="4" fillId="3" borderId="8" xfId="0" applyNumberFormat="1" applyFont="1" applyFill="1" applyBorder="1" applyAlignment="1">
      <x:alignment horizontal="center" vertical="center"/>
    </x:xf>
    <x:xf numFmtId="203" fontId="4" fillId="3" borderId="9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horizont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3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horizontal="center" vertical="center"/>
    </x:xf>
    <x:xf numFmtId="0" fontId="7" fillId="0" borderId="12" xfId="0" applyNumberFormat="1" applyFont="1" applyFill="1" applyBorder="1" applyAlignment="1">
      <x:alignment horizontal="center" vertical="center"/>
    </x:xf>
    <x:xf numFmtId="0" fontId="7" fillId="0" borderId="13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horizontal="left" vertical="center"/>
    </x:xf>
    <x:xf numFmtId="0" fontId="7" fillId="0" borderId="12" xfId="0" applyNumberFormat="1" applyFont="1" applyFill="1" applyBorder="1" applyAlignment="1">
      <x:alignment horizontal="left" vertical="center"/>
    </x:xf>
    <x:xf numFmtId="0" fontId="7" fillId="0" borderId="13" xfId="0" applyNumberFormat="1" applyFont="1" applyFill="1" applyBorder="1" applyAlignment="1">
      <x:alignment horizontal="left" vertical="center"/>
    </x:xf>
    <x:xf numFmtId="0" fontId="7" fillId="0" borderId="11" xfId="0" applyNumberFormat="1" applyFont="1" applyFill="1" applyBorder="1" applyAlignment="1">
      <x:alignment horizontal="right" vertical="center"/>
    </x:xf>
    <x:xf numFmtId="0" fontId="7" fillId="0" borderId="12" xfId="0" applyNumberFormat="1" applyFont="1" applyFill="1" applyBorder="1" applyAlignment="1">
      <x:alignment horizontal="right" vertical="center"/>
    </x:xf>
    <x:xf numFmtId="0" fontId="7" fillId="0" borderId="13" xfId="0" applyNumberFormat="1" applyFont="1" applyFill="1" applyBorder="1" applyAlignment="1">
      <x:alignment horizontal="right" vertical="center"/>
    </x:xf>
    <x:xf numFmtId="204" fontId="7" fillId="0" borderId="11" xfId="0" applyNumberFormat="1" applyFont="1" applyFill="1" applyBorder="1" applyAlignment="1">
      <x:alignment horizontal="center" vertical="center"/>
    </x:xf>
    <x:xf numFmtId="204" fontId="7" fillId="0" borderId="12" xfId="0" applyNumberFormat="1" applyFont="1" applyFill="1" applyBorder="1" applyAlignment="1">
      <x:alignment horizontal="center" vertical="center"/>
    </x:xf>
    <x:xf numFmtId="204" fontId="7" fillId="0" borderId="13" xfId="0" applyNumberFormat="1" applyFont="1" applyFill="1" applyBorder="1" applyAlignment="1">
      <x:alignment horizontal="center" vertical="center"/>
    </x:xf>
    <x:xf numFmtId="205" fontId="7" fillId="0" borderId="11" xfId="0" applyNumberFormat="1" applyFont="1" applyFill="1" applyBorder="1" applyAlignment="1">
      <x:alignment horizontal="center" vertical="center"/>
    </x:xf>
    <x:xf numFmtId="205" fontId="7" fillId="0" borderId="12" xfId="0" applyNumberFormat="1" applyFont="1" applyFill="1" applyBorder="1" applyAlignment="1">
      <x:alignment horizontal="center" vertical="center"/>
    </x:xf>
    <x:xf numFmtId="205" fontId="7" fillId="0" borderId="13" xfId="0" applyNumberFormat="1" applyFont="1" applyFill="1" applyBorder="1" applyAlignment="1">
      <x:alignment horizontal="center" vertical="center"/>
    </x:xf>
    <x:xf numFmtId="201" fontId="7" fillId="0" borderId="11" xfId="0" applyNumberFormat="1" applyFont="1" applyFill="1" applyBorder="1" applyAlignment="1">
      <x:alignment horizontal="right" vertical="center"/>
    </x:xf>
    <x:xf numFmtId="201" fontId="7" fillId="0" borderId="12" xfId="0" applyNumberFormat="1" applyFont="1" applyFill="1" applyBorder="1" applyAlignment="1">
      <x:alignment horizontal="right" vertical="center"/>
    </x:xf>
    <x:xf numFmtId="201" fontId="7" fillId="0" borderId="13" xfId="0" applyNumberFormat="1" applyFont="1" applyFill="1" applyBorder="1" applyAlignment="1">
      <x:alignment horizontal="right" vertical="center"/>
    </x:xf>
    <x:xf numFmtId="203" fontId="7" fillId="0" borderId="11" xfId="0" applyNumberFormat="1" applyFont="1" applyFill="1" applyBorder="1" applyAlignment="1">
      <x:alignment horizontal="right" vertical="center"/>
    </x:xf>
    <x:xf numFmtId="203" fontId="7" fillId="0" borderId="12" xfId="0" applyNumberFormat="1" applyFont="1" applyFill="1" applyBorder="1" applyAlignment="1">
      <x:alignment horizontal="right" vertical="center"/>
    </x:xf>
    <x:xf numFmtId="203" fontId="7" fillId="0" borderId="13" xfId="0" applyNumberFormat="1" applyFont="1" applyFill="1" applyBorder="1" applyAlignment="1">
      <x:alignment horizontal="right" vertical="center"/>
    </x:xf>
    <x:xf numFmtId="206" fontId="7" fillId="0" borderId="11" xfId="0" applyNumberFormat="1" applyFont="1" applyFill="1" applyBorder="1" applyAlignment="1">
      <x:alignment horizontal="right" vertical="center"/>
    </x:xf>
    <x:xf numFmtId="206" fontId="7" fillId="0" borderId="12" xfId="0" applyNumberFormat="1" applyFont="1" applyFill="1" applyBorder="1" applyAlignment="1">
      <x:alignment horizontal="right" vertical="center"/>
    </x:xf>
    <x:xf numFmtId="206" fontId="7" fillId="0" borderId="13" xfId="0" applyNumberFormat="1" applyFont="1" applyFill="1" applyBorder="1" applyAlignment="1">
      <x:alignment horizontal="right" vertical="center"/>
    </x:xf>
    <x:xf numFmtId="200" fontId="7" fillId="0" borderId="11" xfId="0" applyNumberFormat="1" applyFont="1" applyFill="1" applyBorder="1" applyAlignment="1">
      <x:alignment horizontal="right" vertical="center"/>
    </x:xf>
    <x:xf numFmtId="200" fontId="7" fillId="0" borderId="12" xfId="0" applyNumberFormat="1" applyFont="1" applyFill="1" applyBorder="1" applyAlignment="1">
      <x:alignment horizontal="right" vertical="center"/>
    </x:xf>
    <x:xf numFmtId="200" fontId="7" fillId="0" borderId="13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FF3045"/>
      </x:font>
    </x:dxf>
    <x:dxf>
      <x:font>
        <x:color rgb="FF2F65FF"/>
      </x:font>
    </x:dxf>
    <x:dxf>
      <x:font>
        <x:color rgb="FFFF3045"/>
      </x:font>
    </x:dxf>
    <x:dxf>
      <x:font>
        <x:color rgb="FF2F65FF"/>
      </x:font>
    </x:dxf>
    <x:dxf>
      <x:font>
        <x:color rgb="FFFF3045"/>
      </x:font>
    </x:dxf>
    <x:dxf>
      <x:font>
        <x:color rgb="FF2F65F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9e48864d14bcb" /><Relationship Type="http://schemas.openxmlformats.org/officeDocument/2006/relationships/theme" Target="/xl/theme/theme1.xml" Id="Rd88f1e9b607a4397" /><Relationship Type="http://schemas.openxmlformats.org/officeDocument/2006/relationships/sharedStrings" Target="/xl/sharedStrings.xml" Id="Rf456f0d69ff542bc" /><Relationship Type="http://schemas.openxmlformats.org/officeDocument/2006/relationships/worksheet" Target="/xl/worksheets/sheet1.xml" Id="R6f2fcc3eaeff4878" /><Relationship Type="http://schemas.openxmlformats.org/officeDocument/2006/relationships/worksheet" Target="/xl/worksheets/sheet2.xml" Id="Rc84005f6e5f84a24" /></Relationships>
</file>

<file path=xl/tables/table1.xml><?xml version="1.0" encoding="utf-8"?>
<x:table xmlns:x="http://schemas.openxmlformats.org/spreadsheetml/2006/main" id="1" name="ClosedPositionsTable" displayName="ClosedPositionsTable" ref="A8:M19" headerRowCount="1" totalsRowCount="0" totalsRowShown="0">
  <x:autoFilter ref="A8:M19"/>
  <x:tableColumns count="13">
    <x:tableColumn id="1" name="备注&#10;Note"/>
    <x:tableColumn id="2" name="明细&#10;Detail"/>
    <x:tableColumn id="3" name="清仓日期&#10;Close Date"/>
    <x:tableColumn id="4" name="代码&#10;Code"/>
    <x:tableColumn id="5" name="名称&#10;Name"/>
    <x:tableColumn id="6" name="总盈亏&#10;Total P&amp;L"/>
    <x:tableColumn id="7" name="盈亏比&#10;P&amp;L %"/>
    <x:tableColumn id="8" name="同期大盘&#10;Benchmark"/>
    <x:tableColumn id="9" name="跑赢大盘&#10;Excess"/>
    <x:tableColumn id="10" name="买入均价&#10;Buy Avg"/>
    <x:tableColumn id="11" name="卖出均价&#10;Sell Avg"/>
    <x:tableColumn id="12" name="清仓距今&#10;Since Close"/>
    <x:tableColumn id="13" name="持仓天数&#10;Days Held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b26d60c6194d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11" hidden="0" customWidth="1"/>
    <x:col min="5" max="5" width="27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1" hidden="0" customWidth="1"/>
  </x:cols>
  <x:sheetData>
    <x:row r="1" ht="42" customHeight="1">
      <x:c r="A1" s="4" t="str">
        <x:v>近三月清仓交易记录 / Closed Positions — Last 3 Months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4" customHeight="1">
      <x:c r="A2" s="6" t="str">
        <x:v>近三月 / Last 3 Months｜按时间 / By Time｜用户截图 / User Screenshot｜2026-08-16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2" customHeight="1">
      <x:c r="A3" s="15" t="str">
        <x:v>交易笔数 / Trades</x:v>
      </x:c>
      <x:c r="B3" s="16"/>
      <x:c r="C3" s="17"/>
      <x:c r="D3" s="15" t="str">
        <x:v>总盈亏 / Total P&amp;L</x:v>
      </x:c>
      <x:c r="E3" s="16"/>
      <x:c r="F3" s="17"/>
      <x:c r="G3" s="15" t="str">
        <x:v>胜率 / Win Rate</x:v>
      </x:c>
      <x:c r="H3" s="16"/>
      <x:c r="I3" s="17"/>
      <x:c r="J3" s="15" t="str">
        <x:v>平均盈亏比 / Avg P&amp;L %</x:v>
      </x:c>
      <x:c r="K3" s="16"/>
      <x:c r="L3" s="16"/>
      <x:c r="M3" s="17"/>
    </x:row>
    <x:row r="4" ht="26" customHeight="1">
      <x:c r="A4" s="36" t="n">
        <x:f>ROWS(C9:C19)</x:f>
        <x:v>11</x:v>
      </x:c>
      <x:c r="B4" s="37"/>
      <x:c r="C4" s="38"/>
      <x:c r="D4" s="54" t="n">
        <x:f>SUM(F9:F19)</x:f>
        <x:v>4102.7699999999995</x:v>
      </x:c>
      <x:c r="E4" s="55"/>
      <x:c r="F4" s="56"/>
      <x:c r="G4" s="72" t="n">
        <x:f>COUNTIF(F9:F19,"&gt;0")/ROWS(F9:F19)</x:f>
        <x:v>1</x:v>
      </x:c>
      <x:c r="H4" s="73"/>
      <x:c r="I4" s="74"/>
      <x:c r="J4" s="90" t="n">
        <x:f>AVERAGE(G9:G19)</x:f>
        <x:v>0.01821818181818182</x:v>
      </x:c>
      <x:c r="K4" s="91"/>
      <x:c r="L4" s="91"/>
      <x:c r="M4" s="92"/>
    </x:row>
    <x:row r="5" ht="26" customHeight="1">
      <x:c r="A5" s="39"/>
      <x:c r="B5" s="40"/>
      <x:c r="C5" s="41"/>
      <x:c r="D5" s="57"/>
      <x:c r="E5" s="58"/>
      <x:c r="F5" s="59"/>
      <x:c r="G5" s="75"/>
      <x:c r="H5" s="76"/>
      <x:c r="I5" s="77"/>
      <x:c r="J5" s="93"/>
      <x:c r="K5" s="94"/>
      <x:c r="L5" s="94"/>
      <x:c r="M5" s="95"/>
    </x:row>
    <x:row r="7" ht="23" customHeight="1">
      <x:c r="A7" s="98" t="str">
        <x:v>筛选或排序 / Filter or sort｜正值红色 / Positive red｜负值蓝色 / Negative blue｜跑赢大盘为公式 / Excess is formula-driven</x:v>
      </x:c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</x:row>
    <x:row r="8" ht="44" customHeight="1">
      <x:c r="A8" s="104" t="str">
        <x:v>备注
Note</x:v>
      </x:c>
      <x:c r="B8" s="104" t="str">
        <x:v>明细
Detail</x:v>
      </x:c>
      <x:c r="C8" s="104" t="str">
        <x:v>清仓日期
Close Date</x:v>
      </x:c>
      <x:c r="D8" s="104" t="str">
        <x:v>代码
Code</x:v>
      </x:c>
      <x:c r="E8" s="104" t="str">
        <x:v>名称
Name</x:v>
      </x:c>
      <x:c r="F8" s="104" t="str">
        <x:v>总盈亏
Total P&amp;L</x:v>
      </x:c>
      <x:c r="G8" s="104" t="str">
        <x:v>盈亏比
P&amp;L %</x:v>
      </x:c>
      <x:c r="H8" s="104" t="str">
        <x:v>同期大盘
Benchmark</x:v>
      </x:c>
      <x:c r="I8" s="104" t="str">
        <x:v>跑赢大盘
Excess</x:v>
      </x:c>
      <x:c r="J8" s="104" t="str">
        <x:v>买入均价
Buy Avg</x:v>
      </x:c>
      <x:c r="K8" s="104" t="str">
        <x:v>卖出均价
Sell Avg</x:v>
      </x:c>
      <x:c r="L8" s="104" t="str">
        <x:v>清仓距今
Since Close</x:v>
      </x:c>
      <x:c r="M8" s="104" t="str">
        <x:v>持仓天数
Days Held</x:v>
      </x:c>
    </x:row>
    <x:row r="9" ht="30" customHeight="1">
      <x:c r="A9" s="112" t="str">
        <x:v>—</x:v>
      </x:c>
      <x:c r="B9" s="112" t="str">
        <x:v>—</x:v>
      </x:c>
      <x:c r="C9" s="121" t="n">
        <x:v>46248</x:v>
      </x:c>
      <x:c r="D9" s="124" t="str">
        <x:v>513500</x:v>
      </x:c>
      <x:c r="E9" s="115" t="str">
        <x:v>标普500 / S&amp;P 500</x:v>
      </x:c>
      <x:c r="F9" s="127" t="n">
        <x:v>179.28</x:v>
      </x:c>
      <x:c r="G9" s="130" t="n">
        <x:v>0.005</x:v>
      </x:c>
      <x:c r="H9" s="130" t="n">
        <x:v>-0.0049</x:v>
      </x:c>
      <x:c r="I9" s="130" t="n">
        <x:f>G9-H9</x:f>
        <x:v>0.009899999999999999</x:v>
      </x:c>
      <x:c r="J9" s="133" t="n">
        <x:v>2.724</x:v>
      </x:c>
      <x:c r="K9" s="133" t="n">
        <x:v>2.738</x:v>
      </x:c>
      <x:c r="L9" s="130" t="n">
        <x:v>0.0147</x:v>
      </x:c>
      <x:c r="M9" s="136" t="n">
        <x:v>2</x:v>
      </x:c>
    </x:row>
    <x:row r="10" ht="30" customHeight="1">
      <x:c r="A10" s="113" t="str">
        <x:v>—</x:v>
      </x:c>
      <x:c r="B10" s="113" t="str">
        <x:v>—</x:v>
      </x:c>
      <x:c r="C10" s="122" t="n">
        <x:v>46247</x:v>
      </x:c>
      <x:c r="D10" s="125" t="str">
        <x:v>688825</x:v>
      </x:c>
      <x:c r="E10" s="116" t="str">
        <x:v>长鑫科技 / ChangXin Tech</x:v>
      </x:c>
      <x:c r="F10" s="128" t="n">
        <x:v>380.02</x:v>
      </x:c>
      <x:c r="G10" s="131" t="n">
        <x:v>0.0249</x:v>
      </x:c>
      <x:c r="H10" s="131" t="n">
        <x:v>-0.0018</x:v>
      </x:c>
      <x:c r="I10" s="131" t="n">
        <x:f>G10-H10</x:f>
        <x:v>0.026699999999999998</x:v>
      </x:c>
      <x:c r="J10" s="134" t="n">
        <x:v>54.39</x:v>
      </x:c>
      <x:c r="K10" s="134" t="n">
        <x:v>55.75</x:v>
      </x:c>
      <x:c r="L10" s="131" t="n">
        <x:v>-0.0102</x:v>
      </x:c>
      <x:c r="M10" s="137" t="n">
        <x:v>2</x:v>
      </x:c>
    </x:row>
    <x:row r="11" ht="30" customHeight="1">
      <x:c r="A11" s="113" t="str">
        <x:v>—</x:v>
      </x:c>
      <x:c r="B11" s="113" t="str">
        <x:v>—</x:v>
      </x:c>
      <x:c r="C11" s="122" t="n">
        <x:v>46246</x:v>
      </x:c>
      <x:c r="D11" s="125" t="str">
        <x:v>159502</x:v>
      </x:c>
      <x:c r="E11" s="116" t="str">
        <x:v>标普生科 / S&amp;P Biotech</x:v>
      </x:c>
      <x:c r="F11" s="128" t="n">
        <x:v>50.95</x:v>
      </x:c>
      <x:c r="G11" s="131" t="n">
        <x:v>0.0016</x:v>
      </x:c>
      <x:c r="H11" s="131" t="n">
        <x:v>0.0032</x:v>
      </x:c>
      <x:c r="I11" s="131" t="n">
        <x:f>G11-H11</x:f>
        <x:v>-0.0016</x:v>
      </x:c>
      <x:c r="J11" s="134" t="n">
        <x:v>1.581</x:v>
      </x:c>
      <x:c r="K11" s="134" t="n">
        <x:v>1.583</x:v>
      </x:c>
      <x:c r="L11" s="131" t="n">
        <x:v>-0.0128</x:v>
      </x:c>
      <x:c r="M11" s="137" t="n">
        <x:v>1</x:v>
      </x:c>
    </x:row>
    <x:row r="12" ht="30" customHeight="1">
      <x:c r="A12" s="113" t="str">
        <x:v>—</x:v>
      </x:c>
      <x:c r="B12" s="113" t="str">
        <x:v>—</x:v>
      </x:c>
      <x:c r="C12" s="122" t="n">
        <x:v>46246</x:v>
      </x:c>
      <x:c r="D12" s="125" t="str">
        <x:v>515050</x:v>
      </x:c>
      <x:c r="E12" s="116" t="str">
        <x:v>5GETF</x:v>
      </x:c>
      <x:c r="F12" s="128" t="n">
        <x:v>330.29</x:v>
      </x:c>
      <x:c r="G12" s="131" t="n">
        <x:v>0.0093</x:v>
      </x:c>
      <x:c r="H12" s="131" t="n">
        <x:v>-0.005</x:v>
      </x:c>
      <x:c r="I12" s="131" t="n">
        <x:f>G12-H12</x:f>
        <x:v>0.0143</x:v>
      </x:c>
      <x:c r="J12" s="134" t="n">
        <x:v>1.019</x:v>
      </x:c>
      <x:c r="K12" s="134" t="n">
        <x:v>1.028</x:v>
      </x:c>
      <x:c r="L12" s="131" t="n">
        <x:v>0.0442</x:v>
      </x:c>
      <x:c r="M12" s="137" t="n">
        <x:v>2</x:v>
      </x:c>
    </x:row>
    <x:row r="13" ht="30" customHeight="1">
      <x:c r="A13" s="113" t="str">
        <x:v>—</x:v>
      </x:c>
      <x:c r="B13" s="113" t="str">
        <x:v>—</x:v>
      </x:c>
      <x:c r="C13" s="122" t="n">
        <x:v>46245</x:v>
      </x:c>
      <x:c r="D13" s="125" t="str">
        <x:v>159502</x:v>
      </x:c>
      <x:c r="E13" s="116" t="str">
        <x:v>标普生科 / S&amp;P Biotech</x:v>
      </x:c>
      <x:c r="F13" s="128" t="n">
        <x:v>21.77</x:v>
      </x:c>
      <x:c r="G13" s="131" t="n">
        <x:v>0.0007</x:v>
      </x:c>
      <x:c r="H13" s="131" t="n">
        <x:v>-0.0015</x:v>
      </x:c>
      <x:c r="I13" s="131" t="n">
        <x:f>G13-H13</x:f>
        <x:v>0.0022</x:v>
      </x:c>
      <x:c r="J13" s="134" t="n">
        <x:v>1.588</x:v>
      </x:c>
      <x:c r="K13" s="134" t="n">
        <x:v>1.589</x:v>
      </x:c>
      <x:c r="L13" s="131" t="n">
        <x:v>-0.0165</x:v>
      </x:c>
      <x:c r="M13" s="137" t="n">
        <x:v>2</x:v>
      </x:c>
    </x:row>
    <x:row r="14" ht="30" customHeight="1">
      <x:c r="A14" s="113" t="str">
        <x:v>—</x:v>
      </x:c>
      <x:c r="B14" s="113" t="str">
        <x:v>—</x:v>
      </x:c>
      <x:c r="C14" s="122" t="n">
        <x:v>46241</x:v>
      </x:c>
      <x:c r="D14" s="125" t="str">
        <x:v>159866</x:v>
      </x:c>
      <x:c r="E14" s="116" t="str">
        <x:v>日经ETF / Nikkei ETF</x:v>
      </x:c>
      <x:c r="F14" s="128" t="n">
        <x:v>77.9</x:v>
      </x:c>
      <x:c r="G14" s="131" t="n">
        <x:v>0.0022</x:v>
      </x:c>
      <x:c r="H14" s="131" t="n">
        <x:v>0.0159</x:v>
      </x:c>
      <x:c r="I14" s="131" t="n">
        <x:f>G14-H14</x:f>
        <x:v>-0.0137</x:v>
      </x:c>
      <x:c r="J14" s="134" t="n">
        <x:v>1.69</x:v>
      </x:c>
      <x:c r="K14" s="134" t="n">
        <x:v>1.693</x:v>
      </x:c>
      <x:c r="L14" s="131" t="n">
        <x:v>0.0335</x:v>
      </x:c>
      <x:c r="M14" s="137" t="n">
        <x:v>2</x:v>
      </x:c>
    </x:row>
    <x:row r="15" ht="30" customHeight="1">
      <x:c r="A15" s="113" t="str">
        <x:v>—</x:v>
      </x:c>
      <x:c r="B15" s="113" t="str">
        <x:v>—</x:v>
      </x:c>
      <x:c r="C15" s="122" t="n">
        <x:v>46240</x:v>
      </x:c>
      <x:c r="D15" s="125" t="str">
        <x:v>159934</x:v>
      </x:c>
      <x:c r="E15" s="116" t="str">
        <x:v>黄金ETF / Gold ETF</x:v>
      </x:c>
      <x:c r="F15" s="128" t="n">
        <x:v>1120.66</x:v>
      </x:c>
      <x:c r="G15" s="131" t="n">
        <x:v>0.0348</x:v>
      </x:c>
      <x:c r="H15" s="131" t="n">
        <x:v>0.0204</x:v>
      </x:c>
      <x:c r="I15" s="131" t="n">
        <x:f>G15-H15</x:f>
        <x:v>0.014399999999999996</x:v>
      </x:c>
      <x:c r="J15" s="134" t="n">
        <x:v>8.938</x:v>
      </x:c>
      <x:c r="K15" s="134" t="n">
        <x:v>9.25</x:v>
      </x:c>
      <x:c r="L15" s="131" t="n">
        <x:v>0.0101</x:v>
      </x:c>
      <x:c r="M15" s="137" t="n">
        <x:v>2</x:v>
      </x:c>
    </x:row>
    <x:row r="16" ht="30" customHeight="1">
      <x:c r="A16" s="113" t="str">
        <x:v>—</x:v>
      </x:c>
      <x:c r="B16" s="113" t="str">
        <x:v>—</x:v>
      </x:c>
      <x:c r="C16" s="122" t="n">
        <x:v>46239</x:v>
      </x:c>
      <x:c r="D16" s="125" t="str">
        <x:v>159502</x:v>
      </x:c>
      <x:c r="E16" s="116" t="str">
        <x:v>标普生科 / S&amp;P Biotech</x:v>
      </x:c>
      <x:c r="F16" s="128" t="n">
        <x:v>628.03</x:v>
      </x:c>
      <x:c r="G16" s="131" t="n">
        <x:v>0.0247</x:v>
      </x:c>
      <x:c r="H16" s="131" t="n">
        <x:v>0.012</x:v>
      </x:c>
      <x:c r="I16" s="131" t="n">
        <x:f>G16-H16</x:f>
        <x:v>0.0127</x:v>
      </x:c>
      <x:c r="J16" s="134" t="n">
        <x:v>1.481</x:v>
      </x:c>
      <x:c r="K16" s="134" t="n">
        <x:v>1.517</x:v>
      </x:c>
      <x:c r="L16" s="131" t="n">
        <x:v>0.0301</x:v>
      </x:c>
      <x:c r="M16" s="137" t="n">
        <x:v>3</x:v>
      </x:c>
    </x:row>
    <x:row r="17" ht="30" customHeight="1">
      <x:c r="A17" s="113" t="str">
        <x:v>—</x:v>
      </x:c>
      <x:c r="B17" s="113" t="str">
        <x:v>—</x:v>
      </x:c>
      <x:c r="C17" s="122" t="n">
        <x:v>46234</x:v>
      </x:c>
      <x:c r="D17" s="125" t="str">
        <x:v>159915</x:v>
      </x:c>
      <x:c r="E17" s="116" t="str">
        <x:v>创业板 / ChiNext</x:v>
      </x:c>
      <x:c r="F17" s="128" t="n">
        <x:v>1117.41</x:v>
      </x:c>
      <x:c r="G17" s="131" t="n">
        <x:v>0.0442</x:v>
      </x:c>
      <x:c r="H17" s="131" t="n">
        <x:v>0.005</x:v>
      </x:c>
      <x:c r="I17" s="131" t="n">
        <x:f>G17-H17</x:f>
        <x:v>0.039200000000000006</x:v>
      </x:c>
      <x:c r="J17" s="134" t="n">
        <x:v>3.283</x:v>
      </x:c>
      <x:c r="K17" s="134" t="n">
        <x:v>3.428</x:v>
      </x:c>
      <x:c r="L17" s="131" t="n">
        <x:v>0.0634</x:v>
      </x:c>
      <x:c r="M17" s="137" t="n">
        <x:v>3</x:v>
      </x:c>
    </x:row>
    <x:row r="18" ht="30" customHeight="1">
      <x:c r="A18" s="113" t="str">
        <x:v>—</x:v>
      </x:c>
      <x:c r="B18" s="113" t="str">
        <x:v>—</x:v>
      </x:c>
      <x:c r="C18" s="122" t="n">
        <x:v>46230</x:v>
      </x:c>
      <x:c r="D18" s="125" t="str">
        <x:v>601288</x:v>
      </x:c>
      <x:c r="E18" s="116" t="str">
        <x:v>农业银行 / ABC</x:v>
      </x:c>
      <x:c r="F18" s="128" t="n">
        <x:v>162.46</x:v>
      </x:c>
      <x:c r="G18" s="131" t="n">
        <x:v>0.0246</x:v>
      </x:c>
      <x:c r="H18" s="131" t="n">
        <x:v>-0.0048</x:v>
      </x:c>
      <x:c r="I18" s="131" t="n">
        <x:f>G18-H18</x:f>
        <x:v>0.0294</x:v>
      </x:c>
      <x:c r="J18" s="134" t="n">
        <x:v>6.6</x:v>
      </x:c>
      <x:c r="K18" s="134" t="n">
        <x:v>6.76</x:v>
      </x:c>
      <x:c r="L18" s="131" t="n">
        <x:v>-0.0428</x:v>
      </x:c>
      <x:c r="M18" s="137" t="n">
        <x:v>2</x:v>
      </x:c>
    </x:row>
    <x:row r="19" ht="30" customHeight="1">
      <x:c r="A19" s="114" t="str">
        <x:v>—</x:v>
      </x:c>
      <x:c r="B19" s="114" t="str">
        <x:v>—</x:v>
      </x:c>
      <x:c r="C19" s="123" t="n">
        <x:v>46227</x:v>
      </x:c>
      <x:c r="D19" s="126" t="str">
        <x:v>159518</x:v>
      </x:c>
      <x:c r="E19" s="117" t="str">
        <x:v>标普油气 / S&amp;P Oil &amp; Gas</x:v>
      </x:c>
      <x:c r="F19" s="129" t="n">
        <x:v>34</x:v>
      </x:c>
      <x:c r="G19" s="132" t="n">
        <x:v>0.0284</x:v>
      </x:c>
      <x:c r="H19" s="132" t="n">
        <x:v>-0.013</x:v>
      </x:c>
      <x:c r="I19" s="132" t="n">
        <x:f>G19-H19</x:f>
        <x:v>0.0414</x:v>
      </x:c>
      <x:c r="J19" s="135" t="n">
        <x:v>1.196</x:v>
      </x:c>
      <x:c r="K19" s="135" t="n">
        <x:v>1.23</x:v>
      </x:c>
      <x:c r="L19" s="132" t="n">
        <x:v>-0.0179</x:v>
      </x:c>
      <x:c r="M19" s="138" t="n">
        <x:v>3</x:v>
      </x:c>
    </x:row>
  </x:sheetData>
  <x:mergeCells>
    <x:mergeCell ref="A1:M1"/>
    <x:mergeCell ref="A2:M2"/>
    <x:mergeCell ref="A3:C3"/>
    <x:mergeCell ref="A4:C5"/>
    <x:mergeCell ref="D3:F3"/>
    <x:mergeCell ref="D4:F5"/>
    <x:mergeCell ref="G3:I3"/>
    <x:mergeCell ref="G4:I5"/>
    <x:mergeCell ref="J3:M3"/>
    <x:mergeCell ref="J4:M5"/>
    <x:mergeCell ref="A7:M7"/>
  </x:mergeCells>
  <x:conditionalFormatting sqref="F9:F19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G9:I19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L9:L19">
    <x:cfRule type="cellIs" dxfId="4" priority="5" operator="greaterThan">
      <x:formula>0</x:formula>
    </x:cfRule>
    <x:cfRule type="cellIs" dxfId="5" priority="6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b26d60c6194d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70" hidden="0" customWidth="1"/>
  </x:cols>
  <x:sheetData>
    <x:row r="1" ht="40" customHeight="1">
      <x:c r="A1" s="141" t="str">
        <x:v>数据说明与核对 / Data Notes &amp; Checks</x:v>
      </x:c>
      <x:c r="B1" s="141"/>
      <x:c r="C1" s="141"/>
      <x:c r="D1" s="141"/>
      <x:c r="E1" s="141"/>
      <x:c r="F1" s="141"/>
    </x:row>
    <x:row r="3" ht="29" customHeight="1">
      <x:c r="A3" s="101" t="str">
        <x:v>项目 / Item</x:v>
      </x:c>
      <x:c r="B3" s="101" t="str">
        <x:v>说明 / Description</x:v>
      </x:c>
    </x:row>
    <x:row r="4" ht="29" customHeight="1">
      <x:c r="A4" s="145" t="str">
        <x:v>数据来源 / Source</x:v>
      </x:c>
      <x:c r="B4" s="145" t="str">
        <x:v>用户截图 / User screenshot: 截屏2026-08-16 00.19.51.png</x:v>
      </x:c>
    </x:row>
    <x:row r="5" ht="29" customHeight="1">
      <x:c r="A5" s="146" t="str">
        <x:v>截图范围 / Scope</x:v>
      </x:c>
      <x:c r="B5" s="146" t="str">
        <x:v>近三月；按时间汇总 / Last 3 months; grouped by time</x:v>
      </x:c>
    </x:row>
    <x:row r="6" ht="29" customHeight="1">
      <x:c r="A6" s="146" t="str">
        <x:v>记录数量 / Rows</x:v>
      </x:c>
      <x:c r="B6" s="146" t="n">
        <x:v>11</x:v>
      </x:c>
    </x:row>
    <x:row r="7" ht="29" customHeight="1">
      <x:c r="A7" s="146" t="str">
        <x:v>公式字段 / Formula</x:v>
      </x:c>
      <x:c r="B7" s="146" t="str">
        <x:v>跑赢大盘 = 盈亏比 - 同期大盘 / Excess = P&amp;L % - Benchmark</x:v>
      </x:c>
    </x:row>
    <x:row r="8" ht="29" customHeight="1">
      <x:c r="A8" s="146" t="str">
        <x:v>颜色规则 / Colors</x:v>
      </x:c>
      <x:c r="B8" s="146" t="str">
        <x:v>正值红色，负值蓝色 / Positive red; negative blue</x:v>
      </x:c>
    </x:row>
    <x:row r="9" ht="45" customHeight="1">
      <x:c r="A9" s="147" t="str">
        <x:v>注意事项 / Note</x:v>
      </x:c>
      <x:c r="B9" s="147" t="str">
        <x:v>仅录入截图中清晰可见的列 / Only clearly visible columns were captured.</x:v>
      </x:c>
    </x:row>
  </x:sheetData>
  <x:mergeCells>
    <x:mergeCell ref="A1:F1"/>
  </x:mergeCells>
  <x:pageMargins left="0.7" right="0.7" top="0.75" bottom="0.75" header="0.3" footer="0.3"/>
</x:worksheet>
</file>